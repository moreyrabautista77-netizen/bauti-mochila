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  <sheet name="Comparar precios" sheetId="2" state="visible" r:id="rId2"/>
    <sheet name="Mensaje para pedir lis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;($#,##0);-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  <font>
      <name val="Arial"/>
      <color rgb="000563C1"/>
      <u val="single"/>
    </font>
    <font>
      <name val="Arial"/>
      <b val="1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F00"/>
      </patternFill>
    </fill>
    <fill>
      <patternFill patternType="solid">
        <fgColor rgb="00FF6A1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0" pivotButton="0" quotePrefix="0" xfId="0"/>
    <xf numFmtId="9" fontId="6" fillId="3" borderId="0" pivotButton="0" quotePrefix="0" xfId="0"/>
    <xf numFmtId="164" fontId="6" fillId="3" borderId="0" pivotButton="0" quotePrefix="0" xfId="0"/>
    <xf numFmtId="0" fontId="2" fillId="0" borderId="0" pivotButton="0" quotePrefix="0" xfId="0"/>
    <xf numFmtId="0" fontId="2" fillId="0" borderId="1" pivotButton="0" quotePrefix="0" xfId="0"/>
    <xf numFmtId="165" fontId="6" fillId="3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E3" authorId="0" shapeId="0">
      <text>
        <t>Fijate el % real en tu cuenta de Mercado Pago.</t>
      </text>
    </comment>
    <comment ref="B7" authorId="0" shapeId="0">
      <text>
        <t>Fila de ejemplo: costo del JBL que tenés cargado en el panel ($15.200).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armayorista.com.ar/" TargetMode="External" Id="rId1" /><Relationship Type="http://schemas.openxmlformats.org/officeDocument/2006/relationships/hyperlink" Target="https://www.distribuidorapop.com.ar/producto-marca/jbl/" TargetMode="External" Id="rId2" /><Relationship Type="http://schemas.openxmlformats.org/officeDocument/2006/relationships/hyperlink" Target="https://www.portalmayorista.com/electronica/accesorios-de-celulares" TargetMode="External" Id="rId3" /><Relationship Type="http://schemas.openxmlformats.org/officeDocument/2006/relationships/hyperlink" Target="https://accesoriosmayorista.com.ar/" TargetMode="External" Id="rId4" /><Relationship Type="http://schemas.openxmlformats.org/officeDocument/2006/relationships/hyperlink" Target="https://deonce.com.ar/electronica/auriculares/" TargetMode="External" Id="rId5" /><Relationship Type="http://schemas.openxmlformats.org/officeDocument/2006/relationships/hyperlink" Target="https://draconistech.com.ar/" TargetMode="External" Id="rId6" /><Relationship Type="http://schemas.openxmlformats.org/officeDocument/2006/relationships/hyperlink" Target="https://listado.mercadolibre.com.ar/parlantes-jbl-por-mayor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24" customWidth="1" min="4" max="4"/>
    <col width="34" customWidth="1" min="5" max="5"/>
    <col width="18" customWidth="1" min="6" max="6"/>
    <col width="20" customWidth="1" min="7" max="7"/>
    <col width="18" customWidth="1" min="8" max="8"/>
    <col width="36" customWidth="1" min="9" max="9"/>
  </cols>
  <sheetData>
    <row r="1">
      <c r="A1" s="1" t="inlineStr">
        <is>
          <t>Proveedores mayoristas para Stockstore</t>
        </is>
      </c>
    </row>
    <row r="2" ht="32" customHeight="1">
      <c r="A2" s="2" t="inlineStr">
        <is>
          <t>Encontrados por búsqueda web el 04/10/2026. Precios y mínimos no son públicos: las celdas amarillas se completan cuando te contesten. Verificá CUIT, reseñas y redes antes de pagar.</t>
        </is>
      </c>
    </row>
    <row r="4">
      <c r="A4" s="3" t="inlineStr">
        <is>
          <t>Prioridad</t>
        </is>
      </c>
      <c r="B4" s="3" t="inlineStr">
        <is>
          <t>Proveedor</t>
        </is>
      </c>
      <c r="C4" s="3" t="inlineStr">
        <is>
          <t>Link</t>
        </is>
      </c>
      <c r="D4" s="3" t="inlineStr">
        <is>
          <t>Zona</t>
        </is>
      </c>
      <c r="E4" s="3" t="inlineStr">
        <is>
          <t>Qué vende</t>
        </is>
      </c>
      <c r="F4" s="3" t="inlineStr">
        <is>
          <t>Mínimo de compra</t>
        </is>
      </c>
      <c r="G4" s="3" t="inlineStr">
        <is>
          <t>Envío</t>
        </is>
      </c>
      <c r="H4" s="3" t="inlineStr">
        <is>
          <t>Contacto</t>
        </is>
      </c>
      <c r="I4" s="3" t="inlineStr">
        <is>
          <t>Notas / señales de confianza</t>
        </is>
      </c>
    </row>
    <row r="5">
      <c r="A5" s="4" t="inlineStr">
        <is>
          <t>Contactar primero</t>
        </is>
      </c>
      <c r="B5" s="5" t="inlineStr">
        <is>
          <t>Star Mayorista</t>
        </is>
      </c>
      <c r="C5" s="6" t="inlineStr">
        <is>
          <t>https://www.starmayorista.com.ar/</t>
        </is>
      </c>
      <c r="D5" s="5" t="inlineStr">
        <is>
          <t>Once, CABA (Larrea 148)</t>
        </is>
      </c>
      <c r="E5" s="5" t="inlineStr">
        <is>
          <t>Accesorios de celular, AirPods, auriculares JBL, cargadores</t>
        </is>
      </c>
      <c r="F5" s="7" t="n"/>
      <c r="G5" s="5" t="inlineStr">
        <is>
          <t>Envíos al país (confirmar)</t>
        </is>
      </c>
      <c r="H5" s="7" t="n"/>
      <c r="I5" s="5" t="inlineStr">
        <is>
          <t>Tiene todo tu catálogo en un solo lugar.</t>
        </is>
      </c>
    </row>
    <row r="6">
      <c r="A6" s="4" t="inlineStr">
        <is>
          <t>Contactar primero</t>
        </is>
      </c>
      <c r="B6" s="5" t="inlineStr">
        <is>
          <t>Distribuidora Pop</t>
        </is>
      </c>
      <c r="C6" s="6" t="inlineStr">
        <is>
          <t>https://www.distribuidorapop.com.ar/producto-marca/jbl/</t>
        </is>
      </c>
      <c r="D6" s="5" t="inlineStr">
        <is>
          <t>A confirmar</t>
        </is>
      </c>
      <c r="E6" s="5" t="inlineStr">
        <is>
          <t>Productos JBL por mayor</t>
        </is>
      </c>
      <c r="F6" s="7" t="n"/>
      <c r="G6" s="5" t="inlineStr">
        <is>
          <t>Envíos a todo el país</t>
        </is>
      </c>
      <c r="H6" s="7" t="n"/>
      <c r="I6" s="5" t="inlineStr">
        <is>
          <t>Anuncia hasta 24% de descuento por volumen.</t>
        </is>
      </c>
    </row>
    <row r="7">
      <c r="A7" s="4" t="inlineStr">
        <is>
          <t>Contactar primero</t>
        </is>
      </c>
      <c r="B7" s="5" t="inlineStr">
        <is>
          <t>Portal Mayorista</t>
        </is>
      </c>
      <c r="C7" s="6" t="inlineStr">
        <is>
          <t>https://www.portalmayorista.com/electronica/accesorios-de-celulares</t>
        </is>
      </c>
      <c r="D7" s="5" t="inlineStr">
        <is>
          <t>Argentina (online)</t>
        </is>
      </c>
      <c r="E7" s="5" t="inlineStr">
        <is>
          <t>Parlantes, auriculares, cables y cargadores</t>
        </is>
      </c>
      <c r="F7" s="7" t="n"/>
      <c r="G7" s="5" t="inlineStr">
        <is>
          <t>Envíos a todo el país</t>
        </is>
      </c>
      <c r="H7" s="7" t="n"/>
      <c r="I7" s="5" t="inlineStr">
        <is>
          <t>Tienda online: podés ver catálogo antes de escribir.</t>
        </is>
      </c>
    </row>
    <row r="8">
      <c r="A8" s="5" t="n"/>
      <c r="B8" s="5" t="inlineStr">
        <is>
          <t>Accesorios Mayorista</t>
        </is>
      </c>
      <c r="C8" s="6" t="inlineStr">
        <is>
          <t>https://accesoriosmayorista.com.ar/</t>
        </is>
      </c>
      <c r="D8" s="5" t="inlineStr">
        <is>
          <t>A confirmar</t>
        </is>
      </c>
      <c r="E8" s="5" t="inlineStr">
        <is>
          <t>Auriculares y parlantes JBL</t>
        </is>
      </c>
      <c r="F8" s="7" t="n"/>
      <c r="G8" s="7" t="n"/>
      <c r="H8" s="7" t="n"/>
      <c r="I8" s="5" t="n"/>
    </row>
    <row r="9">
      <c r="A9" s="5" t="n"/>
      <c r="B9" s="5" t="inlineStr">
        <is>
          <t>Blue Light</t>
        </is>
      </c>
      <c r="C9" s="5" t="n"/>
      <c r="D9" s="5" t="inlineStr">
        <is>
          <t>Once, CABA (Perón 2532)</t>
        </is>
      </c>
      <c r="E9" s="5" t="inlineStr">
        <is>
          <t>Accesorios de celular, parlantes, cargadores, baterías</t>
        </is>
      </c>
      <c r="F9" s="7" t="n"/>
      <c r="G9" s="7" t="n"/>
      <c r="H9" s="7" t="n"/>
      <c r="I9" s="5" t="n"/>
    </row>
    <row r="10">
      <c r="A10" s="5" t="n"/>
      <c r="B10" s="5" t="inlineStr">
        <is>
          <t>Tiva Multirubro</t>
        </is>
      </c>
      <c r="C10" s="5" t="n"/>
      <c r="D10" s="5" t="inlineStr">
        <is>
          <t>Once, CABA (Rivadavia 2525)</t>
        </is>
      </c>
      <c r="E10" s="5" t="inlineStr">
        <is>
          <t>Multirubro</t>
        </is>
      </c>
      <c r="F10" s="5" t="inlineStr">
        <is>
          <t>Combos desde $250.000</t>
        </is>
      </c>
      <c r="G10" s="7" t="n"/>
      <c r="H10" s="7" t="n"/>
      <c r="I10" s="5" t="inlineStr">
        <is>
          <t>Mínimo alto para tu volumen actual.</t>
        </is>
      </c>
    </row>
    <row r="11">
      <c r="A11" s="5" t="n"/>
      <c r="B11" s="5" t="inlineStr">
        <is>
          <t>Jorgito Tecnología</t>
        </is>
      </c>
      <c r="C11" s="5" t="n"/>
      <c r="D11" s="5" t="inlineStr">
        <is>
          <t>Once, CABA (Av. Corrientes 2380)</t>
        </is>
      </c>
      <c r="E11" s="5" t="inlineStr">
        <is>
          <t>Tecnología y accesorios</t>
        </is>
      </c>
      <c r="F11" s="7" t="n"/>
      <c r="G11" s="7" t="n"/>
      <c r="H11" s="7" t="n"/>
      <c r="I11" s="5" t="n"/>
    </row>
    <row r="12">
      <c r="A12" s="5" t="n"/>
      <c r="B12" s="5" t="inlineStr">
        <is>
          <t>Deonce Mayorista</t>
        </is>
      </c>
      <c r="C12" s="6" t="inlineStr">
        <is>
          <t>https://deonce.com.ar/electronica/auriculares/</t>
        </is>
      </c>
      <c r="D12" s="5" t="inlineStr">
        <is>
          <t>Once, CABA</t>
        </is>
      </c>
      <c r="E12" s="5" t="inlineStr">
        <is>
          <t>Auriculares</t>
        </is>
      </c>
      <c r="F12" s="7" t="n"/>
      <c r="G12" s="7" t="n"/>
      <c r="H12" s="7" t="n"/>
      <c r="I12" s="5" t="n"/>
    </row>
    <row r="13">
      <c r="A13" s="5" t="n"/>
      <c r="B13" s="5" t="inlineStr">
        <is>
          <t>Draconis Tech</t>
        </is>
      </c>
      <c r="C13" s="6" t="inlineStr">
        <is>
          <t>https://draconistech.com.ar/</t>
        </is>
      </c>
      <c r="D13" s="5" t="inlineStr">
        <is>
          <t>Buenos Aires</t>
        </is>
      </c>
      <c r="E13" s="5" t="inlineStr">
        <is>
          <t>Accesorios y electrónica por mayor</t>
        </is>
      </c>
      <c r="F13" s="7" t="n"/>
      <c r="G13" s="7" t="n"/>
      <c r="H13" s="7" t="n"/>
      <c r="I13" s="5" t="n"/>
    </row>
    <row r="14">
      <c r="A14" s="5" t="n"/>
      <c r="B14" s="5" t="inlineStr">
        <is>
          <t>Mercado Libre (por mayor)</t>
        </is>
      </c>
      <c r="C14" s="6" t="inlineStr">
        <is>
          <t>https://listado.mercadolibre.com.ar/parlantes-jbl-por-mayor</t>
        </is>
      </c>
      <c r="D14" s="5" t="inlineStr">
        <is>
          <t>Varios</t>
        </is>
      </c>
      <c r="E14" s="5" t="inlineStr">
        <is>
          <t>Packs de JBL GO 4 y audio</t>
        </is>
      </c>
      <c r="F14" s="5" t="inlineStr">
        <is>
          <t>Según vendedor</t>
        </is>
      </c>
      <c r="G14" s="5" t="inlineStr">
        <is>
          <t>Mercado Envíos</t>
        </is>
      </c>
      <c r="H14" s="7" t="n"/>
      <c r="I14" s="5" t="inlineStr">
        <is>
          <t>Mirá reputación del vendedor (verde) y cantidad de ventas.</t>
        </is>
      </c>
    </row>
    <row r="16" ht="30" customHeight="1">
      <c r="A16" s="2" t="inlineStr">
        <is>
          <t>Por qué esos 3: venden lo que ya vendés (JBL, AirPods, cargadores) y envían al país. No está verificado quién tiene mejor precio: eso lo dice la hoja Comparar precios cuando cargues las listas.</t>
        </is>
      </c>
    </row>
  </sheetData>
  <mergeCells count="2">
    <mergeCell ref="A2:I2"/>
    <mergeCell ref="A16:I16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  <col width="13" customWidth="1" min="8" max="8"/>
    <col width="16" customWidth="1" min="9" max="9"/>
    <col width="13" customWidth="1" min="10" max="10"/>
    <col width="12" customWidth="1" min="11" max="11"/>
  </cols>
  <sheetData>
    <row r="1">
      <c r="A1" s="1" t="inlineStr">
        <is>
          <t>Comparar precios y margen</t>
        </is>
      </c>
    </row>
    <row r="2">
      <c r="A2" s="8" t="inlineStr">
        <is>
          <t>Ganancia mínima que querés (aun con 10% OFF)</t>
        </is>
      </c>
      <c r="E2" s="9" t="n">
        <v>0.3</v>
      </c>
    </row>
    <row r="3">
      <c r="A3" s="8" t="inlineStr">
        <is>
          <t>Comisión de cobro (Mercado Pago/posnet; 0 si es efectivo)</t>
        </is>
      </c>
      <c r="E3" s="10" t="n">
        <v>0</v>
      </c>
    </row>
    <row r="4">
      <c r="A4" s="11" t="inlineStr">
        <is>
          <t>Completá las celdas amarillas (texto azul). El resto se calcula solo.</t>
        </is>
      </c>
    </row>
    <row r="6" ht="45" customHeight="1">
      <c r="A6" s="3" t="inlineStr">
        <is>
          <t>Producto</t>
        </is>
      </c>
      <c r="B6" s="3" t="inlineStr">
        <is>
          <t>Proveedor</t>
        </is>
      </c>
      <c r="C6" s="3" t="inlineStr">
        <is>
          <t>Precio mayorista por unidad ($)</t>
        </is>
      </c>
      <c r="D6" s="3" t="inlineStr">
        <is>
          <t>Flete por unidad ($)</t>
        </is>
      </c>
      <c r="E6" s="3" t="inlineStr">
        <is>
          <t>Costo total ($)</t>
        </is>
      </c>
      <c r="F6" s="3" t="inlineStr">
        <is>
          <t>Precio de venta Stockstore ($)</t>
        </is>
      </c>
      <c r="G6" s="3" t="inlineStr">
        <is>
          <t>Ganancia sin descuento ($)</t>
        </is>
      </c>
      <c r="H6" s="3" t="inlineStr">
        <is>
          <t>Margen sin descuento</t>
        </is>
      </c>
      <c r="I6" s="3" t="inlineStr">
        <is>
          <t>Ganancia con 10% OFF ($)</t>
        </is>
      </c>
      <c r="J6" s="3" t="inlineStr">
        <is>
          <t>Margen con 10% OFF</t>
        </is>
      </c>
      <c r="K6" s="3" t="inlineStr">
        <is>
          <t>¿Conviene?</t>
        </is>
      </c>
    </row>
    <row r="7">
      <c r="A7" s="12" t="inlineStr">
        <is>
          <t>Parlante JBL GO 4 PRO</t>
        </is>
      </c>
      <c r="B7" s="12" t="inlineStr">
        <is>
          <t>Tu proveedor actual (ejemplo)</t>
        </is>
      </c>
      <c r="C7" s="13" t="n">
        <v>15200</v>
      </c>
      <c r="D7" s="13" t="n">
        <v>0</v>
      </c>
      <c r="E7" s="14">
        <f>IF(C7="","",C7+N(D7))</f>
        <v/>
      </c>
      <c r="F7" s="13" t="n">
        <v>28000</v>
      </c>
      <c r="G7" s="14">
        <f>IF(E7="","",F7*(1-$E$3)-E7)</f>
        <v/>
      </c>
      <c r="H7" s="15">
        <f>IF(OR(E7="",F7=0),"",G7/F7)</f>
        <v/>
      </c>
      <c r="I7" s="14">
        <f>IF(E7="","",F7*0.9*(1-$E$3)-E7)</f>
        <v/>
      </c>
      <c r="J7" s="15">
        <f>IF(OR(E7="",F7=0),"",I7/(F7*0.9))</f>
        <v/>
      </c>
      <c r="K7" s="12">
        <f>IF(J7="","",IF(J7&gt;=$E$2,"Sí",IF(I7&gt;0,"Justo","No")))</f>
        <v/>
      </c>
    </row>
    <row r="8">
      <c r="A8" s="12" t="inlineStr">
        <is>
          <t>Parlante JBL GO 4 PRO</t>
        </is>
      </c>
      <c r="B8" s="12" t="inlineStr">
        <is>
          <t>Star Mayorista</t>
        </is>
      </c>
      <c r="C8" s="13" t="n"/>
      <c r="D8" s="13" t="n"/>
      <c r="E8" s="14">
        <f>IF(C8="","",C8+N(D8))</f>
        <v/>
      </c>
      <c r="F8" s="13" t="n">
        <v>28000</v>
      </c>
      <c r="G8" s="14">
        <f>IF(E8="","",F8*(1-$E$3)-E8)</f>
        <v/>
      </c>
      <c r="H8" s="15">
        <f>IF(OR(E8="",F8=0),"",G8/F8)</f>
        <v/>
      </c>
      <c r="I8" s="14">
        <f>IF(E8="","",F8*0.9*(1-$E$3)-E8)</f>
        <v/>
      </c>
      <c r="J8" s="15">
        <f>IF(OR(E8="",F8=0),"",I8/(F8*0.9))</f>
        <v/>
      </c>
      <c r="K8" s="12">
        <f>IF(J8="","",IF(J8&gt;=$E$2,"Sí",IF(I8&gt;0,"Justo","No")))</f>
        <v/>
      </c>
    </row>
    <row r="9">
      <c r="A9" s="12" t="inlineStr">
        <is>
          <t>Parlante JBL GO 4 PRO</t>
        </is>
      </c>
      <c r="B9" s="12" t="inlineStr">
        <is>
          <t>Distribuidora Pop</t>
        </is>
      </c>
      <c r="C9" s="13" t="n"/>
      <c r="D9" s="13" t="n"/>
      <c r="E9" s="14">
        <f>IF(C9="","",C9+N(D9))</f>
        <v/>
      </c>
      <c r="F9" s="13" t="n">
        <v>28000</v>
      </c>
      <c r="G9" s="14">
        <f>IF(E9="","",F9*(1-$E$3)-E9)</f>
        <v/>
      </c>
      <c r="H9" s="15">
        <f>IF(OR(E9="",F9=0),"",G9/F9)</f>
        <v/>
      </c>
      <c r="I9" s="14">
        <f>IF(E9="","",F9*0.9*(1-$E$3)-E9)</f>
        <v/>
      </c>
      <c r="J9" s="15">
        <f>IF(OR(E9="",F9=0),"",I9/(F9*0.9))</f>
        <v/>
      </c>
      <c r="K9" s="12">
        <f>IF(J9="","",IF(J9&gt;=$E$2,"Sí",IF(I9&gt;0,"Justo","No")))</f>
        <v/>
      </c>
    </row>
    <row r="10">
      <c r="A10" s="12" t="inlineStr">
        <is>
          <t>Parlante JBL GO 4 PRO</t>
        </is>
      </c>
      <c r="B10" s="12" t="inlineStr">
        <is>
          <t>Portal Mayorista</t>
        </is>
      </c>
      <c r="C10" s="13" t="n"/>
      <c r="D10" s="13" t="n"/>
      <c r="E10" s="14">
        <f>IF(C10="","",C10+N(D10))</f>
        <v/>
      </c>
      <c r="F10" s="13" t="n">
        <v>28000</v>
      </c>
      <c r="G10" s="14">
        <f>IF(E10="","",F10*(1-$E$3)-E10)</f>
        <v/>
      </c>
      <c r="H10" s="15">
        <f>IF(OR(E10="",F10=0),"",G10/F10)</f>
        <v/>
      </c>
      <c r="I10" s="14">
        <f>IF(E10="","",F10*0.9*(1-$E$3)-E10)</f>
        <v/>
      </c>
      <c r="J10" s="15">
        <f>IF(OR(E10="",F10=0),"",I10/(F10*0.9))</f>
        <v/>
      </c>
      <c r="K10" s="12">
        <f>IF(J10="","",IF(J10&gt;=$E$2,"Sí",IF(I10&gt;0,"Justo","No")))</f>
        <v/>
      </c>
    </row>
    <row r="11">
      <c r="A11" s="12" t="inlineStr">
        <is>
          <t>AirPods Pro 2</t>
        </is>
      </c>
      <c r="B11" s="12" t="inlineStr">
        <is>
          <t>Star Mayorista</t>
        </is>
      </c>
      <c r="C11" s="13" t="n"/>
      <c r="D11" s="13" t="n"/>
      <c r="E11" s="14">
        <f>IF(C11="","",C11+N(D11))</f>
        <v/>
      </c>
      <c r="F11" s="13" t="n">
        <v>30000</v>
      </c>
      <c r="G11" s="14">
        <f>IF(E11="","",F11*(1-$E$3)-E11)</f>
        <v/>
      </c>
      <c r="H11" s="15">
        <f>IF(OR(E11="",F11=0),"",G11/F11)</f>
        <v/>
      </c>
      <c r="I11" s="14">
        <f>IF(E11="","",F11*0.9*(1-$E$3)-E11)</f>
        <v/>
      </c>
      <c r="J11" s="15">
        <f>IF(OR(E11="",F11=0),"",I11/(F11*0.9))</f>
        <v/>
      </c>
      <c r="K11" s="12">
        <f>IF(J11="","",IF(J11&gt;=$E$2,"Sí",IF(I11&gt;0,"Justo","No")))</f>
        <v/>
      </c>
    </row>
    <row r="12">
      <c r="A12" s="12" t="inlineStr">
        <is>
          <t>AirPods Pro 2</t>
        </is>
      </c>
      <c r="B12" s="12" t="inlineStr">
        <is>
          <t>Distribuidora Pop</t>
        </is>
      </c>
      <c r="C12" s="13" t="n"/>
      <c r="D12" s="13" t="n"/>
      <c r="E12" s="14">
        <f>IF(C12="","",C12+N(D12))</f>
        <v/>
      </c>
      <c r="F12" s="13" t="n">
        <v>30000</v>
      </c>
      <c r="G12" s="14">
        <f>IF(E12="","",F12*(1-$E$3)-E12)</f>
        <v/>
      </c>
      <c r="H12" s="15">
        <f>IF(OR(E12="",F12=0),"",G12/F12)</f>
        <v/>
      </c>
      <c r="I12" s="14">
        <f>IF(E12="","",F12*0.9*(1-$E$3)-E12)</f>
        <v/>
      </c>
      <c r="J12" s="15">
        <f>IF(OR(E12="",F12=0),"",I12/(F12*0.9))</f>
        <v/>
      </c>
      <c r="K12" s="12">
        <f>IF(J12="","",IF(J12&gt;=$E$2,"Sí",IF(I12&gt;0,"Justo","No")))</f>
        <v/>
      </c>
    </row>
    <row r="13">
      <c r="A13" s="12" t="inlineStr">
        <is>
          <t>AirPods Pro 2</t>
        </is>
      </c>
      <c r="B13" s="12" t="inlineStr">
        <is>
          <t>Portal Mayorista</t>
        </is>
      </c>
      <c r="C13" s="13" t="n"/>
      <c r="D13" s="13" t="n"/>
      <c r="E13" s="14">
        <f>IF(C13="","",C13+N(D13))</f>
        <v/>
      </c>
      <c r="F13" s="13" t="n">
        <v>30000</v>
      </c>
      <c r="G13" s="14">
        <f>IF(E13="","",F13*(1-$E$3)-E13)</f>
        <v/>
      </c>
      <c r="H13" s="15">
        <f>IF(OR(E13="",F13=0),"",G13/F13)</f>
        <v/>
      </c>
      <c r="I13" s="14">
        <f>IF(E13="","",F13*0.9*(1-$E$3)-E13)</f>
        <v/>
      </c>
      <c r="J13" s="15">
        <f>IF(OR(E13="",F13=0),"",I13/(F13*0.9))</f>
        <v/>
      </c>
      <c r="K13" s="12">
        <f>IF(J13="","",IF(J13&gt;=$E$2,"Sí",IF(I13&gt;0,"Justo","No")))</f>
        <v/>
      </c>
    </row>
    <row r="14">
      <c r="A14" s="12" t="inlineStr">
        <is>
          <t>Battery pack MagSafe</t>
        </is>
      </c>
      <c r="B14" s="12" t="inlineStr">
        <is>
          <t>Star Mayorista</t>
        </is>
      </c>
      <c r="C14" s="13" t="n"/>
      <c r="D14" s="13" t="n"/>
      <c r="E14" s="14">
        <f>IF(C14="","",C14+N(D14))</f>
        <v/>
      </c>
      <c r="F14" s="13" t="n">
        <v>30000</v>
      </c>
      <c r="G14" s="14">
        <f>IF(E14="","",F14*(1-$E$3)-E14)</f>
        <v/>
      </c>
      <c r="H14" s="15">
        <f>IF(OR(E14="",F14=0),"",G14/F14)</f>
        <v/>
      </c>
      <c r="I14" s="14">
        <f>IF(E14="","",F14*0.9*(1-$E$3)-E14)</f>
        <v/>
      </c>
      <c r="J14" s="15">
        <f>IF(OR(E14="",F14=0),"",I14/(F14*0.9))</f>
        <v/>
      </c>
      <c r="K14" s="12">
        <f>IF(J14="","",IF(J14&gt;=$E$2,"Sí",IF(I14&gt;0,"Justo","No")))</f>
        <v/>
      </c>
    </row>
    <row r="15">
      <c r="A15" s="12" t="inlineStr">
        <is>
          <t>Battery pack MagSafe</t>
        </is>
      </c>
      <c r="B15" s="12" t="inlineStr">
        <is>
          <t>Distribuidora Pop</t>
        </is>
      </c>
      <c r="C15" s="13" t="n"/>
      <c r="D15" s="13" t="n"/>
      <c r="E15" s="14">
        <f>IF(C15="","",C15+N(D15))</f>
        <v/>
      </c>
      <c r="F15" s="13" t="n">
        <v>30000</v>
      </c>
      <c r="G15" s="14">
        <f>IF(E15="","",F15*(1-$E$3)-E15)</f>
        <v/>
      </c>
      <c r="H15" s="15">
        <f>IF(OR(E15="",F15=0),"",G15/F15)</f>
        <v/>
      </c>
      <c r="I15" s="14">
        <f>IF(E15="","",F15*0.9*(1-$E$3)-E15)</f>
        <v/>
      </c>
      <c r="J15" s="15">
        <f>IF(OR(E15="",F15=0),"",I15/(F15*0.9))</f>
        <v/>
      </c>
      <c r="K15" s="12">
        <f>IF(J15="","",IF(J15&gt;=$E$2,"Sí",IF(I15&gt;0,"Justo","No")))</f>
        <v/>
      </c>
    </row>
    <row r="16">
      <c r="A16" s="12" t="inlineStr">
        <is>
          <t>Battery pack MagSafe</t>
        </is>
      </c>
      <c r="B16" s="12" t="inlineStr">
        <is>
          <t>Portal Mayorista</t>
        </is>
      </c>
      <c r="C16" s="13" t="n"/>
      <c r="D16" s="13" t="n"/>
      <c r="E16" s="14">
        <f>IF(C16="","",C16+N(D16))</f>
        <v/>
      </c>
      <c r="F16" s="13" t="n">
        <v>30000</v>
      </c>
      <c r="G16" s="14">
        <f>IF(E16="","",F16*(1-$E$3)-E16)</f>
        <v/>
      </c>
      <c r="H16" s="15">
        <f>IF(OR(E16="",F16=0),"",G16/F16)</f>
        <v/>
      </c>
      <c r="I16" s="14">
        <f>IF(E16="","",F16*0.9*(1-$E$3)-E16)</f>
        <v/>
      </c>
      <c r="J16" s="15">
        <f>IF(OR(E16="",F16=0),"",I16/(F16*0.9))</f>
        <v/>
      </c>
      <c r="K16" s="12">
        <f>IF(J16="","",IF(J16&gt;=$E$2,"Sí",IF(I16&gt;0,"Justo","No")))</f>
        <v/>
      </c>
    </row>
    <row r="17">
      <c r="A17" s="12" t="inlineStr">
        <is>
          <t>Combo cargador (ficha + cable tipo C)</t>
        </is>
      </c>
      <c r="B17" s="12" t="inlineStr">
        <is>
          <t>Star Mayorista</t>
        </is>
      </c>
      <c r="C17" s="13" t="n"/>
      <c r="D17" s="13" t="n"/>
      <c r="E17" s="14">
        <f>IF(C17="","",C17+N(D17))</f>
        <v/>
      </c>
      <c r="F17" s="13" t="n">
        <v>16000</v>
      </c>
      <c r="G17" s="14">
        <f>IF(E17="","",F17*(1-$E$3)-E17)</f>
        <v/>
      </c>
      <c r="H17" s="15">
        <f>IF(OR(E17="",F17=0),"",G17/F17)</f>
        <v/>
      </c>
      <c r="I17" s="14">
        <f>IF(E17="","",F17*0.9*(1-$E$3)-E17)</f>
        <v/>
      </c>
      <c r="J17" s="15">
        <f>IF(OR(E17="",F17=0),"",I17/(F17*0.9))</f>
        <v/>
      </c>
      <c r="K17" s="12">
        <f>IF(J17="","",IF(J17&gt;=$E$2,"Sí",IF(I17&gt;0,"Justo","No")))</f>
        <v/>
      </c>
    </row>
    <row r="18">
      <c r="A18" s="12" t="inlineStr">
        <is>
          <t>Combo cargador (ficha + cable tipo C)</t>
        </is>
      </c>
      <c r="B18" s="12" t="inlineStr">
        <is>
          <t>Distribuidora Pop</t>
        </is>
      </c>
      <c r="C18" s="13" t="n"/>
      <c r="D18" s="13" t="n"/>
      <c r="E18" s="14">
        <f>IF(C18="","",C18+N(D18))</f>
        <v/>
      </c>
      <c r="F18" s="13" t="n">
        <v>16000</v>
      </c>
      <c r="G18" s="14">
        <f>IF(E18="","",F18*(1-$E$3)-E18)</f>
        <v/>
      </c>
      <c r="H18" s="15">
        <f>IF(OR(E18="",F18=0),"",G18/F18)</f>
        <v/>
      </c>
      <c r="I18" s="14">
        <f>IF(E18="","",F18*0.9*(1-$E$3)-E18)</f>
        <v/>
      </c>
      <c r="J18" s="15">
        <f>IF(OR(E18="",F18=0),"",I18/(F18*0.9))</f>
        <v/>
      </c>
      <c r="K18" s="12">
        <f>IF(J18="","",IF(J18&gt;=$E$2,"Sí",IF(I18&gt;0,"Justo","No")))</f>
        <v/>
      </c>
    </row>
    <row r="19">
      <c r="A19" s="12" t="inlineStr">
        <is>
          <t>Combo cargador (ficha + cable tipo C)</t>
        </is>
      </c>
      <c r="B19" s="12" t="inlineStr">
        <is>
          <t>Portal Mayorista</t>
        </is>
      </c>
      <c r="C19" s="13" t="n"/>
      <c r="D19" s="13" t="n"/>
      <c r="E19" s="14">
        <f>IF(C19="","",C19+N(D19))</f>
        <v/>
      </c>
      <c r="F19" s="13" t="n">
        <v>16000</v>
      </c>
      <c r="G19" s="14">
        <f>IF(E19="","",F19*(1-$E$3)-E19)</f>
        <v/>
      </c>
      <c r="H19" s="15">
        <f>IF(OR(E19="",F19=0),"",G19/F19)</f>
        <v/>
      </c>
      <c r="I19" s="14">
        <f>IF(E19="","",F19*0.9*(1-$E$3)-E19)</f>
        <v/>
      </c>
      <c r="J19" s="15">
        <f>IF(OR(E19="",F19=0),"",I19/(F19*0.9))</f>
        <v/>
      </c>
      <c r="K19" s="12">
        <f>IF(J19="","",IF(J19&gt;=$E$2,"Sí",IF(I19&gt;0,"Justo","No")))</f>
        <v/>
      </c>
    </row>
    <row r="21">
      <c r="A21" s="11" t="inlineStr">
        <is>
          <t>Precios de venta: los del panel de Stockstore al 04/10/2026. Si cambian, actualizalos en la columna F.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Mensaje para mandarle a cada proveedor</t>
        </is>
      </c>
    </row>
    <row r="3" ht="90" customHeight="1">
      <c r="A3" s="2" t="inlineStr">
        <is>
          <t>Hola, ¿cómo están? Soy Bautista, tengo una tienda de tecnología en Corrientes Capital (@stockstore.arg). Me interesa comprarles por mayor. ¿Me pasan la lista de precios actualizada de parlantes JBL GO 4, AirPods Pro 2, battery pack MagSafe y cargadores tipo C? También quería saber: mínimo de compra, si hacen envíos a Corrientes y cuánto sale, medios de pago y si dan garantía o cambio por fallas. ¡Gracias!</t>
        </is>
      </c>
    </row>
    <row r="5">
      <c r="A5" s="2" t="inlineStr">
        <is>
          <t>Antes de pagar: pedí CUIT, mirá que las redes tengan movimiento reciente y buscá reseñas. Si es la primera vez, arrancá con una compra chica.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2026-10-04T18:29:18Z</dcterms:created>
  <dcterms:modified xsi:type="dcterms:W3CDTF">2026-10-04T18:34:55Z</dcterms:modified>
</cp:coreProperties>
</file>